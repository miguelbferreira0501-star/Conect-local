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s por app" sheetId="1" state="visible" r:id="rId3"/>
    <sheet name="Premissas" sheetId="2" state="visible" r:id="rId4"/>
    <sheet name="Resumo mens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<sst xmlns="http://schemas.openxmlformats.org/spreadsheetml/2006/main" count="140" uniqueCount="117">
  <si>
    <t xml:space="preserve">Tudo o que vamos gastar, por aplicativo/serviço</t>
  </si>
  <si>
    <t xml:space="preserve">Valores de referência (out/2026). Azul = valor que você pode editar. "Quando" diz se é preciso já, no lançamento ou só depois.</t>
  </si>
  <si>
    <t xml:space="preserve">Aplicativo / serviço</t>
  </si>
  <si>
    <t xml:space="preserve">Para que serve</t>
  </si>
  <si>
    <t xml:space="preserve">Quando</t>
  </si>
  <si>
    <t xml:space="preserve">Cobrança</t>
  </si>
  <si>
    <t xml:space="preserve">Valor (US$)</t>
  </si>
  <si>
    <t xml:space="preserve">Valor (R$)</t>
  </si>
  <si>
    <t xml:space="preserve">Custo mensal (R$)</t>
  </si>
  <si>
    <t xml:space="preserve">Agora (teste) R$/mês</t>
  </si>
  <si>
    <t xml:space="preserve">Obrigatório?</t>
  </si>
  <si>
    <t xml:space="preserve">Observação</t>
  </si>
  <si>
    <t xml:space="preserve">Render (servidor do site e do app)</t>
  </si>
  <si>
    <t xml:space="preserve">Deixa o site e o app no ar</t>
  </si>
  <si>
    <t xml:space="preserve">Lançamento</t>
  </si>
  <si>
    <t xml:space="preserve">Mensal</t>
  </si>
  <si>
    <t xml:space="preserve">Sim</t>
  </si>
  <si>
    <t xml:space="preserve">Grátis hoje, mas "dorme" e demora ~1 min para abrir. Plano Starter antes de divulgar.</t>
  </si>
  <si>
    <t xml:space="preserve">Neon (banco de dados)</t>
  </si>
  <si>
    <t xml:space="preserve">Guarda empresas, avaliações, agendamentos</t>
  </si>
  <si>
    <t xml:space="preserve">Crescimento</t>
  </si>
  <si>
    <t xml:space="preserve">Plano grátis aguenta o começo. Estimativa US$ 19–30 quando crescer; confira o preço no site da Neon.</t>
  </si>
  <si>
    <t xml:space="preserve">Anthropic / Claude (IA)</t>
  </si>
  <si>
    <t xml:space="preserve">Assistente de IA das empresas</t>
  </si>
  <si>
    <t xml:space="preserve">Agora</t>
  </si>
  <si>
    <t xml:space="preserve">Por uso</t>
  </si>
  <si>
    <t xml:space="preserve">ver Resumo</t>
  </si>
  <si>
    <t xml:space="preserve">Não</t>
  </si>
  <si>
    <t xml:space="preserve">Calculado na aba Resumo mensal (custo por uso × usos). Sem chave, o assistente fica desligado.</t>
  </si>
  <si>
    <t xml:space="preserve">Asaas (pagamentos)</t>
  </si>
  <si>
    <t xml:space="preserve">Recebe Pix e cartão das empresas</t>
  </si>
  <si>
    <t xml:space="preserve">Por cobrança</t>
  </si>
  <si>
    <t xml:space="preserve">Sem mensalidade: cobra uma taxa por pagamento recebido (aba Resumo mensal).</t>
  </si>
  <si>
    <t xml:space="preserve">Google Play Console</t>
  </si>
  <si>
    <t xml:space="preserve">Publicar o app Android</t>
  </si>
  <si>
    <t xml:space="preserve">Única vez</t>
  </si>
  <si>
    <t xml:space="preserve">Pagamento único (US$ 25). Se já pagou, coloque 0 no valor.</t>
  </si>
  <si>
    <t xml:space="preserve">Apple Developer Program</t>
  </si>
  <si>
    <t xml:space="preserve">Publicar o app no iPhone</t>
  </si>
  <si>
    <t xml:space="preserve">Depois</t>
  </si>
  <si>
    <t xml:space="preserve">Anual</t>
  </si>
  <si>
    <t xml:space="preserve">Para iPhone</t>
  </si>
  <si>
    <t xml:space="preserve">US$ 99 por ano. Só quando for lançar na App Store.</t>
  </si>
  <si>
    <t xml:space="preserve">Build do iPhone na nuvem (ex.: Codemagic)</t>
  </si>
  <si>
    <t xml:space="preserve">Gerar o app iOS sem ter Mac</t>
  </si>
  <si>
    <t xml:space="preserve">Plano grátis costuma bastar para poucos builds por mês.</t>
  </si>
  <si>
    <t xml:space="preserve">Domínio .com.br (Registro.br)</t>
  </si>
  <si>
    <t xml:space="preserve">Endereço próprio (ex.: conectalocal.com.br)</t>
  </si>
  <si>
    <t xml:space="preserve">Recomendado</t>
  </si>
  <si>
    <t xml:space="preserve">R$ 40 por ano. Passa mais confiança que o endereço onrender.com.</t>
  </si>
  <si>
    <t xml:space="preserve">Contador</t>
  </si>
  <si>
    <t xml:space="preserve">Abrir e manter o CNPJ, impostos</t>
  </si>
  <si>
    <t xml:space="preserve">Sim (com CNPJ)</t>
  </si>
  <si>
    <t xml:space="preserve">Estimativa R$ 150–400/mês; contabilidade on-line costuma ser mais barata.</t>
  </si>
  <si>
    <t xml:space="preserve">GitHub</t>
  </si>
  <si>
    <t xml:space="preserve">Guarda o código do app</t>
  </si>
  <si>
    <t xml:space="preserve">Grátis</t>
  </si>
  <si>
    <t xml:space="preserve">Plano grátis é suficiente.</t>
  </si>
  <si>
    <t xml:space="preserve">PWABuilder</t>
  </si>
  <si>
    <t xml:space="preserve">Gera o pacote do app para a Play Store</t>
  </si>
  <si>
    <t xml:space="preserve">Gratuito.</t>
  </si>
  <si>
    <t xml:space="preserve">cron-job.org</t>
  </si>
  <si>
    <t xml:space="preserve">Evita o servidor grátis "dormir" (só fase de teste)</t>
  </si>
  <si>
    <t xml:space="preserve">Dispensável depois de mudar para o Render Starter.</t>
  </si>
  <si>
    <t xml:space="preserve">Total de custos fixos</t>
  </si>
  <si>
    <t xml:space="preserve">Gastos de uma vez só (Play Console)</t>
  </si>
  <si>
    <t xml:space="preserve">Gastos anuais (Apple + domínio)</t>
  </si>
  <si>
    <t xml:space="preserve">Fase de teste (coluna H): tudo no plano grátis. Mude o valor se começar a pagar algo antes do lançamento.</t>
  </si>
  <si>
    <t xml:space="preserve">Premissas (edite só as células em azul com fundo amarelo)</t>
  </si>
  <si>
    <t xml:space="preserve">Premissa</t>
  </si>
  <si>
    <t xml:space="preserve">Valor</t>
  </si>
  <si>
    <t xml:space="preserve">Cotação do dólar (R$)</t>
  </si>
  <si>
    <t xml:space="preserve">Ajuste para a cotação do dia.</t>
  </si>
  <si>
    <t xml:space="preserve">Preço plano Profissional (R$/mês)</t>
  </si>
  <si>
    <t xml:space="preserve">Definido no app (packages/shared/src/panel.ts).</t>
  </si>
  <si>
    <t xml:space="preserve">Preço plano Equipe (R$/mês)</t>
  </si>
  <si>
    <t xml:space="preserve">Definido no app.</t>
  </si>
  <si>
    <t xml:space="preserve">Custo da IA por uso (R$)</t>
  </si>
  <si>
    <t xml:space="preserve">Modelo padrão (Opus): ~1.500 tokens entrada + 1.000 saída ≈ US$ 0,026. Com Haiku cai para ~R$ 0,004.</t>
  </si>
  <si>
    <t xml:space="preserve">Usos de IA por empresa grátis (mês)</t>
  </si>
  <si>
    <t xml:space="preserve">Limite do plano é 10; estimativa de uso médio.</t>
  </si>
  <si>
    <t xml:space="preserve">Usos de IA por empresa Profissional (mês)</t>
  </si>
  <si>
    <t xml:space="preserve">Limite 80; estimativa de uso médio.</t>
  </si>
  <si>
    <t xml:space="preserve">Usos de IA por empresa Equipe (mês)</t>
  </si>
  <si>
    <t xml:space="preserve">Limite 250; estimativa de uso médio.</t>
  </si>
  <si>
    <t xml:space="preserve">Taxa média do meio de pagamento (Asaas)</t>
  </si>
  <si>
    <t xml:space="preserve">Estimativa média entre Pix e cartão. Confira as taxas da sua conta Asaas.</t>
  </si>
  <si>
    <t xml:space="preserve">Imposto (Simples Nacional)</t>
  </si>
  <si>
    <t xml:space="preserve">Estimativa 6%–8% (Anexo III). Confirme com um contador.</t>
  </si>
  <si>
    <t xml:space="preserve">Quanto gastamos e quanto sobra por mês (3 cenários)</t>
  </si>
  <si>
    <t xml:space="preserve">Edite o número de empresas (azul). Tudo o mais é calculado.</t>
  </si>
  <si>
    <t xml:space="preserve">Item</t>
  </si>
  <si>
    <t xml:space="preserve">Começo</t>
  </si>
  <si>
    <t xml:space="preserve">100 empresas</t>
  </si>
  <si>
    <t xml:space="preserve">500 empresas</t>
  </si>
  <si>
    <t xml:space="preserve">Empresas no plano Grátis</t>
  </si>
  <si>
    <t xml:space="preserve">Empresas no plano Profissional</t>
  </si>
  <si>
    <t xml:space="preserve">Empresas no plano Equipe</t>
  </si>
  <si>
    <t xml:space="preserve">RECEITA</t>
  </si>
  <si>
    <t xml:space="preserve">Receita Profissional</t>
  </si>
  <si>
    <t xml:space="preserve">Receita Equipe</t>
  </si>
  <si>
    <t xml:space="preserve">Receita total</t>
  </si>
  <si>
    <t xml:space="preserve">GASTOS</t>
  </si>
  <si>
    <t xml:space="preserve">Custos fixos (Render, Neon, contador, domínio, Apple)</t>
  </si>
  <si>
    <t xml:space="preserve">IA (Claude)</t>
  </si>
  <si>
    <t xml:space="preserve">Taxas do Asaas</t>
  </si>
  <si>
    <t xml:space="preserve">Impostos</t>
  </si>
  <si>
    <t xml:space="preserve">Gasto total</t>
  </si>
  <si>
    <t xml:space="preserve">RESULTADO</t>
  </si>
  <si>
    <t xml:space="preserve">Lucro por mês</t>
  </si>
  <si>
    <t xml:space="preserve">Margem</t>
  </si>
  <si>
    <t xml:space="preserve">Lucro por ano</t>
  </si>
  <si>
    <t xml:space="preserve">Observações</t>
  </si>
  <si>
    <t xml:space="preserve">• Custos fixos vêm da aba "Custos por app" (já com Render Starter, Neon pago, contador, domínio e Apple divididos por mês).</t>
  </si>
  <si>
    <t xml:space="preserve">• No começo, Neon e contador podem ficar no plano grátis / sem CNPJ: o gasto real será menor que o mostrado.</t>
  </si>
  <si>
    <t xml:space="preserve">• Taxas e impostos são estimativas: confirme com o Asaas e com um contador.</t>
  </si>
  <si>
    <t xml:space="preserve">• A Google Play (US$ 25) é paga uma vez só e não entra no mês.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</si>
</sst>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US$ &quot;#,##0.00;&quot;(US$ &quot;#,##0.00\);\-"/>
    <numFmt numFmtId="166" formatCode="&quot;R$ &quot;#,##0.00;&quot;(R$ &quot;#,##0.00\);\-"/>
    <numFmt numFmtId="167" formatCode="0.00"/>
    <numFmt numFmtId="168" formatCode="0"/>
    <numFmt numFmtId="169" formatCode="0.0%"/>
    <numFmt numFmtId="170" formatCode="0.0%;\(0.0%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3C7A"/>
        <bgColor rgb="FF333399"/>
      </patternFill>
    </fill>
    <fill>
      <patternFill patternType="solid">
        <fgColor rgb="FFE7F1FB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F1FB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C7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9" min="8" style="0" width="14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6.8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5" t="n">
        <v>7</v>
      </c>
      <c r="F5" s="6" t="n">
        <f aca="false">E5*Premissas!$B$4</f>
        <v>38.5</v>
      </c>
      <c r="G5" s="6" t="n">
        <f aca="false">F5</f>
        <v>38.5</v>
      </c>
      <c r="H5" s="7" t="n">
        <v>0</v>
      </c>
      <c r="I5" s="4" t="s">
        <v>16</v>
      </c>
      <c r="J5" s="4" t="s">
        <v>17</v>
      </c>
    </row>
    <row r="6" customFormat="false" ht="26.85" hidden="false" customHeight="false" outlineLevel="0" collapsed="false">
      <c r="A6" s="4" t="s">
        <v>18</v>
      </c>
      <c r="B6" s="4" t="s">
        <v>19</v>
      </c>
      <c r="C6" s="4" t="s">
        <v>20</v>
      </c>
      <c r="D6" s="4" t="s">
        <v>15</v>
      </c>
      <c r="E6" s="5" t="n">
        <v>19</v>
      </c>
      <c r="F6" s="6" t="n">
        <f aca="false">E6*Premissas!$B$4</f>
        <v>104.5</v>
      </c>
      <c r="G6" s="6" t="n">
        <f aca="false">F6</f>
        <v>104.5</v>
      </c>
      <c r="H6" s="7" t="n">
        <v>0</v>
      </c>
      <c r="I6" s="4" t="s">
        <v>16</v>
      </c>
      <c r="J6" s="4" t="s">
        <v>21</v>
      </c>
    </row>
    <row r="7" customFormat="false" ht="26.85" hidden="false" customHeight="false" outlineLevel="0" collapsed="false">
      <c r="A7" s="4" t="s">
        <v>22</v>
      </c>
      <c r="B7" s="4" t="s">
        <v>23</v>
      </c>
      <c r="C7" s="4" t="s">
        <v>24</v>
      </c>
      <c r="D7" s="4" t="s">
        <v>25</v>
      </c>
      <c r="E7" s="8"/>
      <c r="F7" s="6" t="s">
        <v>26</v>
      </c>
      <c r="G7" s="6" t="n">
        <v>0</v>
      </c>
      <c r="H7" s="7" t="n">
        <v>0</v>
      </c>
      <c r="I7" s="4" t="s">
        <v>27</v>
      </c>
      <c r="J7" s="4" t="s">
        <v>28</v>
      </c>
    </row>
    <row r="8" customFormat="false" ht="26.85" hidden="false" customHeight="false" outlineLevel="0" collapsed="false">
      <c r="A8" s="4" t="s">
        <v>29</v>
      </c>
      <c r="B8" s="4" t="s">
        <v>30</v>
      </c>
      <c r="C8" s="4" t="s">
        <v>14</v>
      </c>
      <c r="D8" s="4" t="s">
        <v>31</v>
      </c>
      <c r="E8" s="8"/>
      <c r="F8" s="6" t="s">
        <v>26</v>
      </c>
      <c r="G8" s="6" t="n">
        <v>0</v>
      </c>
      <c r="H8" s="7" t="n">
        <v>0</v>
      </c>
      <c r="I8" s="4" t="s">
        <v>16</v>
      </c>
      <c r="J8" s="4" t="s">
        <v>32</v>
      </c>
    </row>
    <row r="9" customFormat="false" ht="15" hidden="false" customHeight="false" outlineLevel="0" collapsed="false">
      <c r="A9" s="4" t="s">
        <v>33</v>
      </c>
      <c r="B9" s="4" t="s">
        <v>34</v>
      </c>
      <c r="C9" s="4" t="s">
        <v>24</v>
      </c>
      <c r="D9" s="4" t="s">
        <v>35</v>
      </c>
      <c r="E9" s="5" t="n">
        <v>25</v>
      </c>
      <c r="F9" s="6" t="n">
        <f aca="false">E9*Premissas!$B$4</f>
        <v>137.5</v>
      </c>
      <c r="G9" s="6" t="n">
        <v>0</v>
      </c>
      <c r="H9" s="7" t="n">
        <v>0</v>
      </c>
      <c r="I9" s="4" t="s">
        <v>16</v>
      </c>
      <c r="J9" s="4" t="s">
        <v>36</v>
      </c>
    </row>
    <row r="10" customFormat="false" ht="15" hidden="false" customHeight="false" outlineLevel="0" collapsed="false">
      <c r="A10" s="4" t="s">
        <v>37</v>
      </c>
      <c r="B10" s="4" t="s">
        <v>38</v>
      </c>
      <c r="C10" s="4" t="s">
        <v>39</v>
      </c>
      <c r="D10" s="4" t="s">
        <v>40</v>
      </c>
      <c r="E10" s="5" t="n">
        <v>99</v>
      </c>
      <c r="F10" s="6" t="n">
        <f aca="false">E10*Premissas!$B$4</f>
        <v>544.5</v>
      </c>
      <c r="G10" s="6" t="n">
        <f aca="false">F10/12</f>
        <v>45.375</v>
      </c>
      <c r="H10" s="7" t="n">
        <v>0</v>
      </c>
      <c r="I10" s="4" t="s">
        <v>41</v>
      </c>
      <c r="J10" s="4" t="s">
        <v>42</v>
      </c>
    </row>
    <row r="11" customFormat="false" ht="26.85" hidden="false" customHeight="false" outlineLevel="0" collapsed="false">
      <c r="A11" s="4" t="s">
        <v>43</v>
      </c>
      <c r="B11" s="4" t="s">
        <v>44</v>
      </c>
      <c r="C11" s="4" t="s">
        <v>39</v>
      </c>
      <c r="D11" s="4" t="s">
        <v>15</v>
      </c>
      <c r="E11" s="5" t="n">
        <v>0</v>
      </c>
      <c r="F11" s="6" t="n">
        <f aca="false">E11*Premissas!$B$4</f>
        <v>0</v>
      </c>
      <c r="G11" s="6" t="n">
        <f aca="false">F11</f>
        <v>0</v>
      </c>
      <c r="H11" s="7" t="n">
        <v>0</v>
      </c>
      <c r="I11" s="4" t="s">
        <v>41</v>
      </c>
      <c r="J11" s="4" t="s">
        <v>45</v>
      </c>
    </row>
    <row r="12" customFormat="false" ht="26.85" hidden="false" customHeight="false" outlineLevel="0" collapsed="false">
      <c r="A12" s="4" t="s">
        <v>46</v>
      </c>
      <c r="B12" s="4" t="s">
        <v>47</v>
      </c>
      <c r="C12" s="4" t="s">
        <v>14</v>
      </c>
      <c r="D12" s="4" t="s">
        <v>40</v>
      </c>
      <c r="E12" s="8"/>
      <c r="F12" s="7" t="n">
        <v>40</v>
      </c>
      <c r="G12" s="6" t="n">
        <f aca="false">F12/12</f>
        <v>3.33333333333333</v>
      </c>
      <c r="H12" s="7" t="n">
        <v>0</v>
      </c>
      <c r="I12" s="4" t="s">
        <v>48</v>
      </c>
      <c r="J12" s="4" t="s">
        <v>49</v>
      </c>
    </row>
    <row r="13" customFormat="false" ht="26.85" hidden="false" customHeight="false" outlineLevel="0" collapsed="false">
      <c r="A13" s="4" t="s">
        <v>50</v>
      </c>
      <c r="B13" s="4" t="s">
        <v>51</v>
      </c>
      <c r="C13" s="4" t="s">
        <v>14</v>
      </c>
      <c r="D13" s="4" t="s">
        <v>15</v>
      </c>
      <c r="E13" s="8"/>
      <c r="F13" s="7" t="n">
        <v>250</v>
      </c>
      <c r="G13" s="6" t="n">
        <f aca="false">F13</f>
        <v>250</v>
      </c>
      <c r="H13" s="7" t="n">
        <v>0</v>
      </c>
      <c r="I13" s="4" t="s">
        <v>52</v>
      </c>
      <c r="J13" s="4" t="s">
        <v>53</v>
      </c>
    </row>
    <row r="14" customFormat="false" ht="15" hidden="false" customHeight="false" outlineLevel="0" collapsed="false">
      <c r="A14" s="4" t="s">
        <v>54</v>
      </c>
      <c r="B14" s="4" t="s">
        <v>55</v>
      </c>
      <c r="C14" s="4" t="s">
        <v>24</v>
      </c>
      <c r="D14" s="4" t="s">
        <v>56</v>
      </c>
      <c r="E14" s="5" t="n">
        <v>0</v>
      </c>
      <c r="F14" s="6" t="n">
        <f aca="false">E14*Premissas!$B$4</f>
        <v>0</v>
      </c>
      <c r="G14" s="6" t="n">
        <v>0</v>
      </c>
      <c r="H14" s="7" t="n">
        <v>0</v>
      </c>
      <c r="I14" s="4" t="s">
        <v>16</v>
      </c>
      <c r="J14" s="4" t="s">
        <v>57</v>
      </c>
    </row>
    <row r="15" customFormat="false" ht="26.85" hidden="false" customHeight="false" outlineLevel="0" collapsed="false">
      <c r="A15" s="4" t="s">
        <v>58</v>
      </c>
      <c r="B15" s="4" t="s">
        <v>59</v>
      </c>
      <c r="C15" s="4" t="s">
        <v>24</v>
      </c>
      <c r="D15" s="4" t="s">
        <v>56</v>
      </c>
      <c r="E15" s="5" t="n">
        <v>0</v>
      </c>
      <c r="F15" s="6" t="n">
        <f aca="false">E15*Premissas!$B$4</f>
        <v>0</v>
      </c>
      <c r="G15" s="6" t="n">
        <v>0</v>
      </c>
      <c r="H15" s="7" t="n">
        <v>0</v>
      </c>
      <c r="I15" s="4" t="s">
        <v>16</v>
      </c>
      <c r="J15" s="4" t="s">
        <v>60</v>
      </c>
    </row>
    <row r="16" customFormat="false" ht="26.85" hidden="false" customHeight="false" outlineLevel="0" collapsed="false">
      <c r="A16" s="4" t="s">
        <v>61</v>
      </c>
      <c r="B16" s="4" t="s">
        <v>62</v>
      </c>
      <c r="C16" s="4" t="s">
        <v>24</v>
      </c>
      <c r="D16" s="4" t="s">
        <v>56</v>
      </c>
      <c r="E16" s="5" t="n">
        <v>0</v>
      </c>
      <c r="F16" s="6" t="n">
        <f aca="false">E16*Premissas!$B$4</f>
        <v>0</v>
      </c>
      <c r="G16" s="6" t="n">
        <v>0</v>
      </c>
      <c r="H16" s="7" t="n">
        <v>0</v>
      </c>
      <c r="I16" s="4" t="s">
        <v>27</v>
      </c>
      <c r="J16" s="4" t="s">
        <v>63</v>
      </c>
    </row>
    <row r="17" customFormat="false" ht="15" hidden="false" customHeight="false" outlineLevel="0" collapsed="false">
      <c r="A17" s="9" t="s">
        <v>64</v>
      </c>
      <c r="B17" s="10"/>
      <c r="C17" s="10"/>
      <c r="D17" s="10"/>
      <c r="E17" s="10"/>
      <c r="F17" s="11"/>
      <c r="G17" s="11" t="n">
        <f aca="false">SUM(G5:G16)</f>
        <v>441.708333333333</v>
      </c>
      <c r="H17" s="11" t="n">
        <f aca="false">SUM(H5:H16)</f>
        <v>0</v>
      </c>
      <c r="I17" s="10"/>
      <c r="J17" s="10"/>
    </row>
    <row r="18" customFormat="false" ht="15" hidden="false" customHeight="false" outlineLevel="0" collapsed="false">
      <c r="A18" s="9" t="s">
        <v>65</v>
      </c>
      <c r="B18" s="10"/>
      <c r="C18" s="10"/>
      <c r="D18" s="10"/>
      <c r="E18" s="10"/>
      <c r="F18" s="11" t="n">
        <f aca="false">SUMIFS(F5:F16,D5:D16,"Única vez")</f>
        <v>137.5</v>
      </c>
      <c r="G18" s="11"/>
      <c r="H18" s="11"/>
      <c r="I18" s="10"/>
      <c r="J18" s="10"/>
    </row>
    <row r="19" customFormat="false" ht="15" hidden="false" customHeight="false" outlineLevel="0" collapsed="false">
      <c r="A19" s="9" t="s">
        <v>66</v>
      </c>
      <c r="B19" s="10"/>
      <c r="C19" s="10"/>
      <c r="D19" s="10"/>
      <c r="E19" s="10"/>
      <c r="F19" s="11" t="n">
        <f aca="false">SUMIFS(F5:F16,D5:D16,"Anual")</f>
        <v>584.5</v>
      </c>
      <c r="G19" s="11"/>
      <c r="H19" s="11"/>
      <c r="I19" s="10"/>
      <c r="J19" s="10"/>
    </row>
    <row r="21" customFormat="false" ht="15" hidden="false" customHeight="false" outlineLevel="0" collapsed="false">
      <c r="A21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68</v>
      </c>
    </row>
    <row r="3" customFormat="false" ht="15" hidden="false" customHeight="false" outlineLevel="0" collapsed="false">
      <c r="A3" s="12" t="s">
        <v>69</v>
      </c>
      <c r="B3" s="12" t="s">
        <v>70</v>
      </c>
      <c r="C3" s="12" t="s">
        <v>11</v>
      </c>
    </row>
    <row r="4" customFormat="false" ht="15" hidden="false" customHeight="false" outlineLevel="0" collapsed="false">
      <c r="A4" s="13" t="s">
        <v>71</v>
      </c>
      <c r="B4" s="14" t="n">
        <v>5.5</v>
      </c>
      <c r="C4" s="4" t="s">
        <v>72</v>
      </c>
    </row>
    <row r="5" customFormat="false" ht="15" hidden="false" customHeight="false" outlineLevel="0" collapsed="false">
      <c r="A5" s="13" t="s">
        <v>73</v>
      </c>
      <c r="B5" s="15" t="n">
        <v>49.9</v>
      </c>
      <c r="C5" s="4" t="s">
        <v>74</v>
      </c>
    </row>
    <row r="6" customFormat="false" ht="15" hidden="false" customHeight="false" outlineLevel="0" collapsed="false">
      <c r="A6" s="13" t="s">
        <v>75</v>
      </c>
      <c r="B6" s="15" t="n">
        <v>99.9</v>
      </c>
      <c r="C6" s="4" t="s">
        <v>76</v>
      </c>
    </row>
    <row r="7" customFormat="false" ht="26.85" hidden="false" customHeight="false" outlineLevel="0" collapsed="false">
      <c r="A7" s="13" t="s">
        <v>77</v>
      </c>
      <c r="B7" s="15" t="n">
        <v>0.14</v>
      </c>
      <c r="C7" s="4" t="s">
        <v>78</v>
      </c>
    </row>
    <row r="8" customFormat="false" ht="15" hidden="false" customHeight="false" outlineLevel="0" collapsed="false">
      <c r="A8" s="13" t="s">
        <v>79</v>
      </c>
      <c r="B8" s="16" t="n">
        <v>5</v>
      </c>
      <c r="C8" s="4" t="s">
        <v>80</v>
      </c>
    </row>
    <row r="9" customFormat="false" ht="15" hidden="false" customHeight="false" outlineLevel="0" collapsed="false">
      <c r="A9" s="13" t="s">
        <v>81</v>
      </c>
      <c r="B9" s="16" t="n">
        <v>40</v>
      </c>
      <c r="C9" s="4" t="s">
        <v>82</v>
      </c>
    </row>
    <row r="10" customFormat="false" ht="15" hidden="false" customHeight="false" outlineLevel="0" collapsed="false">
      <c r="A10" s="13" t="s">
        <v>83</v>
      </c>
      <c r="B10" s="16" t="n">
        <v>120</v>
      </c>
      <c r="C10" s="4" t="s">
        <v>84</v>
      </c>
    </row>
    <row r="11" customFormat="false" ht="15" hidden="false" customHeight="false" outlineLevel="0" collapsed="false">
      <c r="A11" s="13" t="s">
        <v>85</v>
      </c>
      <c r="B11" s="17" t="n">
        <v>0.04</v>
      </c>
      <c r="C11" s="4" t="s">
        <v>86</v>
      </c>
    </row>
    <row r="12" customFormat="false" ht="15" hidden="false" customHeight="false" outlineLevel="0" collapsed="false">
      <c r="A12" s="13" t="s">
        <v>87</v>
      </c>
      <c r="B12" s="17" t="n">
        <v>0.06</v>
      </c>
      <c r="C12" s="4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18" t="s">
        <v>91</v>
      </c>
      <c r="B4" s="18" t="s">
        <v>92</v>
      </c>
      <c r="C4" s="18" t="s">
        <v>93</v>
      </c>
      <c r="D4" s="18" t="s">
        <v>94</v>
      </c>
    </row>
    <row r="5" customFormat="false" ht="15" hidden="false" customHeight="false" outlineLevel="0" collapsed="false">
      <c r="A5" s="13" t="s">
        <v>95</v>
      </c>
      <c r="B5" s="16" t="n">
        <v>40</v>
      </c>
      <c r="C5" s="16" t="n">
        <v>70</v>
      </c>
      <c r="D5" s="16" t="n">
        <v>340</v>
      </c>
    </row>
    <row r="6" customFormat="false" ht="15" hidden="false" customHeight="false" outlineLevel="0" collapsed="false">
      <c r="A6" s="13" t="s">
        <v>96</v>
      </c>
      <c r="B6" s="16" t="n">
        <v>8</v>
      </c>
      <c r="C6" s="16" t="n">
        <v>24</v>
      </c>
      <c r="D6" s="16" t="n">
        <v>125</v>
      </c>
    </row>
    <row r="7" customFormat="false" ht="15" hidden="false" customHeight="false" outlineLevel="0" collapsed="false">
      <c r="A7" s="13" t="s">
        <v>97</v>
      </c>
      <c r="B7" s="16" t="n">
        <v>2</v>
      </c>
      <c r="C7" s="16" t="n">
        <v>6</v>
      </c>
      <c r="D7" s="16" t="n">
        <v>35</v>
      </c>
    </row>
    <row r="8" customFormat="false" ht="15" hidden="false" customHeight="false" outlineLevel="0" collapsed="false">
      <c r="A8" s="19" t="s">
        <v>98</v>
      </c>
      <c r="B8" s="20"/>
      <c r="C8" s="20"/>
      <c r="D8" s="20"/>
    </row>
    <row r="9" customFormat="false" ht="15" hidden="false" customHeight="false" outlineLevel="0" collapsed="false">
      <c r="A9" s="13" t="s">
        <v>99</v>
      </c>
      <c r="B9" s="21" t="n">
        <f aca="false">B6*Premissas!$B$5</f>
        <v>399.2</v>
      </c>
      <c r="C9" s="21" t="n">
        <f aca="false">C6*Premissas!$B$5</f>
        <v>1197.6</v>
      </c>
      <c r="D9" s="21" t="n">
        <f aca="false">D6*Premissas!$B$5</f>
        <v>6237.5</v>
      </c>
    </row>
    <row r="10" customFormat="false" ht="15" hidden="false" customHeight="false" outlineLevel="0" collapsed="false">
      <c r="A10" s="13" t="s">
        <v>100</v>
      </c>
      <c r="B10" s="21" t="n">
        <f aca="false">B7*Premissas!$B$6</f>
        <v>199.8</v>
      </c>
      <c r="C10" s="21" t="n">
        <f aca="false">C7*Premissas!$B$6</f>
        <v>599.4</v>
      </c>
      <c r="D10" s="21" t="n">
        <f aca="false">D7*Premissas!$B$6</f>
        <v>3496.5</v>
      </c>
    </row>
    <row r="11" customFormat="false" ht="15" hidden="false" customHeight="false" outlineLevel="0" collapsed="false">
      <c r="A11" s="13" t="s">
        <v>101</v>
      </c>
      <c r="B11" s="21" t="n">
        <f aca="false">B9+B10</f>
        <v>599</v>
      </c>
      <c r="C11" s="21" t="n">
        <f aca="false">C9+C10</f>
        <v>1797</v>
      </c>
      <c r="D11" s="21" t="n">
        <f aca="false">D9+D10</f>
        <v>9734</v>
      </c>
    </row>
    <row r="12" customFormat="false" ht="15" hidden="false" customHeight="false" outlineLevel="0" collapsed="false">
      <c r="A12" s="19" t="s">
        <v>102</v>
      </c>
      <c r="B12" s="20"/>
      <c r="C12" s="20"/>
      <c r="D12" s="20"/>
    </row>
    <row r="13" customFormat="false" ht="15" hidden="false" customHeight="false" outlineLevel="0" collapsed="false">
      <c r="A13" s="13" t="s">
        <v>103</v>
      </c>
      <c r="B13" s="21" t="n">
        <f aca="false">'Custos por app'!$G$17</f>
        <v>441.708333333333</v>
      </c>
      <c r="C13" s="21" t="n">
        <f aca="false">'Custos por app'!$G$17</f>
        <v>441.708333333333</v>
      </c>
      <c r="D13" s="21" t="n">
        <f aca="false">'Custos por app'!$G$17</f>
        <v>441.708333333333</v>
      </c>
    </row>
    <row r="14" customFormat="false" ht="15" hidden="false" customHeight="false" outlineLevel="0" collapsed="false">
      <c r="A14" s="13" t="s">
        <v>104</v>
      </c>
      <c r="B14" s="21" t="n">
        <f aca="false">(B5*Premissas!$B$8+B6*Premissas!$B$9+B7*Premissas!$B$10)*Premissas!$B$7</f>
        <v>106.4</v>
      </c>
      <c r="C14" s="21" t="n">
        <f aca="false">(C5*Premissas!$B$8+C6*Premissas!$B$9+C7*Premissas!$B$10)*Premissas!$B$7</f>
        <v>284.2</v>
      </c>
      <c r="D14" s="21" t="n">
        <f aca="false">(D5*Premissas!$B$8+D6*Premissas!$B$9+D7*Premissas!$B$10)*Premissas!$B$7</f>
        <v>1526</v>
      </c>
    </row>
    <row r="15" customFormat="false" ht="15" hidden="false" customHeight="false" outlineLevel="0" collapsed="false">
      <c r="A15" s="13" t="s">
        <v>105</v>
      </c>
      <c r="B15" s="21" t="n">
        <f aca="false">B11*Premissas!$B$11</f>
        <v>23.96</v>
      </c>
      <c r="C15" s="21" t="n">
        <f aca="false">C11*Premissas!$B$11</f>
        <v>71.88</v>
      </c>
      <c r="D15" s="21" t="n">
        <f aca="false">D11*Premissas!$B$11</f>
        <v>389.36</v>
      </c>
    </row>
    <row r="16" customFormat="false" ht="15" hidden="false" customHeight="false" outlineLevel="0" collapsed="false">
      <c r="A16" s="13" t="s">
        <v>106</v>
      </c>
      <c r="B16" s="21" t="n">
        <f aca="false">B11*Premissas!$B$12</f>
        <v>35.94</v>
      </c>
      <c r="C16" s="21" t="n">
        <f aca="false">C11*Premissas!$B$12</f>
        <v>107.82</v>
      </c>
      <c r="D16" s="21" t="n">
        <f aca="false">D11*Premissas!$B$12</f>
        <v>584.04</v>
      </c>
    </row>
    <row r="17" customFormat="false" ht="15" hidden="false" customHeight="false" outlineLevel="0" collapsed="false">
      <c r="A17" s="22" t="s">
        <v>107</v>
      </c>
      <c r="B17" s="23" t="n">
        <f aca="false">SUM(B13:B16)</f>
        <v>608.008333333333</v>
      </c>
      <c r="C17" s="23" t="n">
        <f aca="false">SUM(C13:C16)</f>
        <v>905.608333333333</v>
      </c>
      <c r="D17" s="23" t="n">
        <f aca="false">SUM(D13:D16)</f>
        <v>2941.10833333333</v>
      </c>
    </row>
    <row r="18" customFormat="false" ht="15" hidden="false" customHeight="false" outlineLevel="0" collapsed="false">
      <c r="A18" s="19" t="s">
        <v>108</v>
      </c>
      <c r="B18" s="20"/>
      <c r="C18" s="20"/>
      <c r="D18" s="20"/>
    </row>
    <row r="19" customFormat="false" ht="15" hidden="false" customHeight="false" outlineLevel="0" collapsed="false">
      <c r="A19" s="22" t="s">
        <v>109</v>
      </c>
      <c r="B19" s="23" t="n">
        <f aca="false">B11-B17</f>
        <v>-9.00833333333344</v>
      </c>
      <c r="C19" s="23" t="n">
        <f aca="false">C11-C17</f>
        <v>891.391666666667</v>
      </c>
      <c r="D19" s="23" t="n">
        <f aca="false">D11-D17</f>
        <v>6792.89166666667</v>
      </c>
    </row>
    <row r="20" customFormat="false" ht="15" hidden="false" customHeight="false" outlineLevel="0" collapsed="false">
      <c r="A20" s="13" t="s">
        <v>110</v>
      </c>
      <c r="B20" s="24" t="n">
        <f aca="false">IF(B11=0,0,B19/B11)</f>
        <v>-0.0150389538119089</v>
      </c>
      <c r="C20" s="24" t="n">
        <f aca="false">IF(C11=0,0,C19/C11)</f>
        <v>0.496044333147839</v>
      </c>
      <c r="D20" s="24" t="n">
        <f aca="false">IF(D11=0,0,D19/D11)</f>
        <v>0.69785203068283</v>
      </c>
    </row>
    <row r="21" customFormat="false" ht="15" hidden="false" customHeight="false" outlineLevel="0" collapsed="false">
      <c r="A21" s="13" t="s">
        <v>111</v>
      </c>
      <c r="B21" s="21" t="n">
        <f aca="false">B19*12</f>
        <v>-108.100000000001</v>
      </c>
      <c r="C21" s="21" t="n">
        <f aca="false">C19*12</f>
        <v>10696.7</v>
      </c>
      <c r="D21" s="21" t="n">
        <f aca="false">D19*12</f>
        <v>81514.7</v>
      </c>
    </row>
    <row r="23" customFormat="false" ht="15" hidden="false" customHeight="false" outlineLevel="0" collapsed="false">
      <c r="A23" s="25" t="s">
        <v>112</v>
      </c>
    </row>
    <row r="24" customFormat="false" ht="15" hidden="false" customHeight="false" outlineLevel="0" collapsed="false">
      <c r="A24" s="26" t="s">
        <v>113</v>
      </c>
    </row>
    <row r="25" customFormat="false" ht="15" hidden="false" customHeight="false" outlineLevel="0" collapsed="false">
      <c r="A25" s="26" t="s">
        <v>114</v>
      </c>
    </row>
    <row r="26" customFormat="false" ht="15" hidden="false" customHeight="false" outlineLevel="0" collapsed="false">
      <c r="A26" s="26" t="s">
        <v>115</v>
      </c>
    </row>
    <row r="27" customFormat="false" ht="15" hidden="false" customHeight="false" outlineLevel="0" collapsed="false">
      <c r="A27" s="26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2026-10-25T17:44:50Z</dcterms:created>
  <dc:creator>openpyxl</dc:creator>
  <dc:description/>
  <dc:language>en-US</dc:language>
  <cp:lastModifiedBy/>
  <dcterms:modified xsi:type="dcterms:W3CDTF">2026-10-25T17:44:50Z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